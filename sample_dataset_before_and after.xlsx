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wanz\Downloads\"/>
    </mc:Choice>
  </mc:AlternateContent>
  <xr:revisionPtr revIDLastSave="0" documentId="8_{591B7775-6179-47F3-ADCA-A45B293D9349}" xr6:coauthVersionLast="47" xr6:coauthVersionMax="47" xr10:uidLastSave="{00000000-0000-0000-0000-000000000000}"/>
  <bookViews>
    <workbookView xWindow="-108" yWindow="-108" windowWidth="23256" windowHeight="12456" activeTab="1" xr2:uid="{15C48BB4-F9D0-4DA8-8C48-112FCBB783EA}"/>
  </bookViews>
  <sheets>
    <sheet name="Before" sheetId="1" r:id="rId1"/>
    <sheet name="Af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I4" i="2"/>
  <c r="J3" i="2"/>
  <c r="I3" i="2"/>
  <c r="J2" i="2"/>
  <c r="I2" i="2"/>
</calcChain>
</file>

<file path=xl/sharedStrings.xml><?xml version="1.0" encoding="utf-8"?>
<sst xmlns="http://schemas.openxmlformats.org/spreadsheetml/2006/main" count="55" uniqueCount="32">
  <si>
    <t>No.</t>
  </si>
  <si>
    <t>Branch</t>
  </si>
  <si>
    <t>Business Name</t>
  </si>
  <si>
    <t>Gender</t>
  </si>
  <si>
    <t>Age</t>
  </si>
  <si>
    <t>Loan Value</t>
  </si>
  <si>
    <t>Business Sector</t>
  </si>
  <si>
    <t>Region</t>
  </si>
  <si>
    <t>Month</t>
  </si>
  <si>
    <t>Central</t>
  </si>
  <si>
    <t>ABC Trading</t>
  </si>
  <si>
    <t>M &amp; F</t>
  </si>
  <si>
    <t>34 &amp; 39</t>
  </si>
  <si>
    <t>Beauty</t>
  </si>
  <si>
    <t>Oct 2024</t>
  </si>
  <si>
    <t>East</t>
  </si>
  <si>
    <t>XYZ Services</t>
  </si>
  <si>
    <t>Female</t>
  </si>
  <si>
    <t>Retail</t>
  </si>
  <si>
    <t>BusinessID</t>
  </si>
  <si>
    <t>Calendar Year</t>
  </si>
  <si>
    <t>Fiscal Year</t>
  </si>
  <si>
    <t>Owner Seq</t>
  </si>
  <si>
    <t>Youth</t>
  </si>
  <si>
    <t>Non-Youth</t>
  </si>
  <si>
    <t>Loan Amount</t>
  </si>
  <si>
    <t>BUS-012</t>
  </si>
  <si>
    <t>FY25</t>
  </si>
  <si>
    <t>Oct</t>
  </si>
  <si>
    <t>Male</t>
  </si>
  <si>
    <t>Beauty / Personal Care</t>
  </si>
  <si>
    <t>BUS-013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</si>
</sst>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9839-6F72-4FB2-B846-E83CD06D5B92}">
  <dimension ref="A1:I3"/>
  <sheetViews>
    <sheetView workbookViewId="0">
      <selection activeCell="G7" sqref="G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12</v>
      </c>
      <c r="B2" t="s">
        <v>9</v>
      </c>
      <c r="C2" t="s">
        <v>10</v>
      </c>
      <c r="D2" t="s">
        <v>11</v>
      </c>
      <c r="E2" t="s">
        <v>12</v>
      </c>
      <c r="F2">
        <v>75000</v>
      </c>
      <c r="G2" t="s">
        <v>13</v>
      </c>
      <c r="I2" t="s">
        <v>14</v>
      </c>
    </row>
    <row r="3" spans="1:9" x14ac:dyDescent="0.3">
      <c r="A3">
        <v>13</v>
      </c>
      <c r="B3" t="s">
        <v>15</v>
      </c>
      <c r="C3" t="s">
        <v>16</v>
      </c>
      <c r="D3" t="s">
        <v>17</v>
      </c>
      <c r="E3">
        <v>29</v>
      </c>
      <c r="F3">
        <v>50000</v>
      </c>
      <c r="G3" t="s">
        <v>18</v>
      </c>
      <c r="H3" t="s">
        <v>15</v>
      </c>
      <c r="I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8F95-8D4A-4F22-AE7E-064CF5F556E2}">
  <dimension ref="A1:M4"/>
  <sheetViews>
    <sheetView tabSelected="1" workbookViewId="0">
      <selection activeCell="H7" sqref="H7"/>
    </sheetView>
  </sheetViews>
  <sheetFormatPr defaultRowHeight="14.4" x14ac:dyDescent="0.3"/>
  <cols>
    <col min="12" max="12" width="19.77734375" bestFit="1" customWidth="1"/>
    <col min="13" max="13" width="6.88671875" bestFit="1" customWidth="1"/>
  </cols>
  <sheetData>
    <row r="1" spans="1:13" x14ac:dyDescent="0.3">
      <c r="A1" t="s">
        <v>19</v>
      </c>
      <c r="B1" t="s">
        <v>1</v>
      </c>
      <c r="C1" t="s">
        <v>20</v>
      </c>
      <c r="D1" t="s">
        <v>21</v>
      </c>
      <c r="E1" t="s">
        <v>8</v>
      </c>
      <c r="F1" t="s">
        <v>22</v>
      </c>
      <c r="G1" t="s">
        <v>3</v>
      </c>
      <c r="H1" t="s">
        <v>4</v>
      </c>
      <c r="I1" t="s">
        <v>23</v>
      </c>
      <c r="J1" t="s">
        <v>24</v>
      </c>
      <c r="K1" t="s">
        <v>25</v>
      </c>
      <c r="L1" t="s">
        <v>6</v>
      </c>
      <c r="M1" t="s">
        <v>7</v>
      </c>
    </row>
    <row r="2" spans="1:13" x14ac:dyDescent="0.3">
      <c r="A2" t="s">
        <v>26</v>
      </c>
      <c r="B2" t="s">
        <v>9</v>
      </c>
      <c r="C2">
        <v>2024</v>
      </c>
      <c r="D2" t="s">
        <v>27</v>
      </c>
      <c r="E2" t="s">
        <v>28</v>
      </c>
      <c r="F2">
        <v>1</v>
      </c>
      <c r="G2" t="s">
        <v>29</v>
      </c>
      <c r="H2">
        <v>34</v>
      </c>
      <c r="I2">
        <f t="shared" ref="I2:I4" si="0">IF(AND(ISNUMBER(H2), H2&lt;=35),1,0)</f>
        <v>1</v>
      </c>
      <c r="J2">
        <f t="shared" ref="J2:J33" si="1">IF(AND(ISNUMBER(H2), H2&gt;35),1,0)</f>
        <v>0</v>
      </c>
      <c r="K2">
        <v>75000</v>
      </c>
      <c r="L2" t="s">
        <v>30</v>
      </c>
      <c r="M2" t="s">
        <v>9</v>
      </c>
    </row>
    <row r="3" spans="1:13" x14ac:dyDescent="0.3">
      <c r="A3" t="s">
        <v>26</v>
      </c>
      <c r="B3" t="s">
        <v>9</v>
      </c>
      <c r="C3">
        <v>2024</v>
      </c>
      <c r="D3" t="s">
        <v>27</v>
      </c>
      <c r="E3" t="s">
        <v>28</v>
      </c>
      <c r="F3">
        <v>2</v>
      </c>
      <c r="G3" t="s">
        <v>17</v>
      </c>
      <c r="H3">
        <v>39</v>
      </c>
      <c r="I3">
        <f t="shared" si="0"/>
        <v>0</v>
      </c>
      <c r="J3">
        <f t="shared" si="1"/>
        <v>1</v>
      </c>
      <c r="K3">
        <v>0</v>
      </c>
      <c r="L3" t="s">
        <v>30</v>
      </c>
      <c r="M3" t="s">
        <v>9</v>
      </c>
    </row>
    <row r="4" spans="1:13" x14ac:dyDescent="0.3">
      <c r="A4" t="s">
        <v>31</v>
      </c>
      <c r="B4" t="s">
        <v>15</v>
      </c>
      <c r="C4">
        <v>2024</v>
      </c>
      <c r="D4" t="s">
        <v>27</v>
      </c>
      <c r="E4" t="s">
        <v>28</v>
      </c>
      <c r="F4">
        <v>1</v>
      </c>
      <c r="G4" t="s">
        <v>17</v>
      </c>
      <c r="H4">
        <v>29</v>
      </c>
      <c r="I4">
        <f t="shared" si="0"/>
        <v>1</v>
      </c>
      <c r="J4">
        <f t="shared" si="1"/>
        <v>0</v>
      </c>
      <c r="K4">
        <v>50000</v>
      </c>
      <c r="L4" t="s">
        <v>18</v>
      </c>
      <c r="M4" t="s">
        <v>15</v>
      </c>
    </row>
  </sheetData>
  <dataValidations count="3">
    <dataValidation type="whole" allowBlank="1" sqref="H2:H100" xr:uid="{56FA46FF-05C3-4FB0-90F6-28E9E7DFE1C7}">
      <formula1>0</formula1>
      <formula2>120</formula2>
    </dataValidation>
    <dataValidation type="list" allowBlank="1" sqref="L2:L100" xr:uid="{8F51A656-60A3-4281-BA4D-2459D4C00ECB}">
      <formula1>"Transport,Beauty / Personal Care,Retail"</formula1>
    </dataValidation>
    <dataValidation type="list" allowBlank="1" sqref="G2:G100" xr:uid="{6F761DAB-0DA9-4FC8-A5D4-4D4F78C913FE}">
      <formula1>"Male,Female,Not Specified"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Renelle Griffith</dc:creator>
  <cp:lastModifiedBy>Renelle Griffith</cp:lastModifiedBy>
  <dcterms:created xsi:type="dcterms:W3CDTF">2025-12-19T20:06:11Z</dcterms:created>
  <dcterms:modified xsi:type="dcterms:W3CDTF">2025-12-19T20:06:59Z</dcterms:modified>
</cp:coreProperties>
</file>